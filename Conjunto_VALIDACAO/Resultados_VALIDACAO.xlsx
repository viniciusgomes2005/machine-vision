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M\Desafio_Mudas\dataset\_Eucalipto_VALIDACAO\"/>
    </mc:Choice>
  </mc:AlternateContent>
  <xr:revisionPtr revIDLastSave="0" documentId="13_ncr:1_{C6BE6517-0DED-4051-9DBE-77F4331BAC32}" xr6:coauthVersionLast="47" xr6:coauthVersionMax="47" xr10:uidLastSave="{00000000-0000-0000-0000-000000000000}"/>
  <bookViews>
    <workbookView xWindow="-108" yWindow="-108" windowWidth="23256" windowHeight="12456" xr2:uid="{9DA59B45-4735-4FAF-97F1-CAEBCF2364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5" i="1"/>
  <c r="D6" i="1"/>
</calcChain>
</file>

<file path=xl/sharedStrings.xml><?xml version="1.0" encoding="utf-8"?>
<sst xmlns="http://schemas.openxmlformats.org/spreadsheetml/2006/main" count="16" uniqueCount="16">
  <si>
    <t>Img</t>
  </si>
  <si>
    <t>Altura Vert.</t>
  </si>
  <si>
    <t>Compr Total</t>
  </si>
  <si>
    <t>Diâmetro</t>
  </si>
  <si>
    <t>Área</t>
  </si>
  <si>
    <t>Nro Folhas</t>
  </si>
  <si>
    <t>11 ou 12</t>
  </si>
  <si>
    <t>11, 12 ou 13</t>
  </si>
  <si>
    <t>13 ou 14</t>
  </si>
  <si>
    <t>&lt;&lt; medido 40 linhas acima do vaso</t>
  </si>
  <si>
    <t>4 ou 5</t>
  </si>
  <si>
    <t>20 a 23</t>
  </si>
  <si>
    <t>11 a 12</t>
  </si>
  <si>
    <t>13, 14 ou 15</t>
  </si>
  <si>
    <t>9, 10 ou 11</t>
  </si>
  <si>
    <t>12, 13 ou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</si>
</sst>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FFFF"/>
      <name val="Aptos"/>
      <family val="2"/>
    </font>
    <font>
      <sz val="14"/>
      <color rgb="FF000000"/>
      <name val="Aptos"/>
      <family val="2"/>
    </font>
    <font>
      <sz val="8"/>
      <name val="Aptos Narrow"/>
      <family val="2"/>
      <scheme val="minor"/>
    </font>
    <font>
      <sz val="14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4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5" fillId="4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52DD-CC30-46DD-B9E3-717E7379D12C}">
  <dimension ref="B1:H12"/>
  <sheetViews>
    <sheetView tabSelected="1" zoomScale="90" zoomScaleNormal="90" workbookViewId="0">
      <selection activeCell="B2" sqref="B2"/>
    </sheetView>
  </sheetViews>
  <sheetFormatPr defaultRowHeight="14.4" x14ac:dyDescent="0.3"/>
  <cols>
    <col min="1" max="1" width="2.88671875" customWidth="1"/>
    <col min="2" max="2" width="19.109375" customWidth="1"/>
    <col min="3" max="3" width="22.33203125" customWidth="1"/>
    <col min="4" max="4" width="23.6640625" customWidth="1"/>
    <col min="5" max="5" width="22.6640625" customWidth="1"/>
    <col min="6" max="6" width="17.33203125" customWidth="1"/>
    <col min="7" max="7" width="24.44140625" customWidth="1"/>
  </cols>
  <sheetData>
    <row r="1" spans="2:8" ht="15" thickBot="1" x14ac:dyDescent="0.35"/>
    <row r="2" spans="2:8" ht="18.600000000000001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8" ht="19.2" thickTop="1" thickBot="1" x14ac:dyDescent="0.35">
      <c r="B3" s="3">
        <v>3</v>
      </c>
      <c r="C3" s="6">
        <v>1107</v>
      </c>
      <c r="D3" s="6">
        <v>1340</v>
      </c>
      <c r="E3" s="6">
        <v>21</v>
      </c>
      <c r="F3" s="6">
        <v>179931</v>
      </c>
      <c r="G3" s="6" t="s">
        <v>6</v>
      </c>
    </row>
    <row r="4" spans="2:8" ht="18.600000000000001" thickBot="1" x14ac:dyDescent="0.35">
      <c r="B4" s="2">
        <v>4</v>
      </c>
      <c r="C4" s="5">
        <v>794</v>
      </c>
      <c r="D4" s="5">
        <v>630</v>
      </c>
      <c r="E4" s="5">
        <v>14</v>
      </c>
      <c r="F4" s="5">
        <v>43952</v>
      </c>
      <c r="G4" s="5" t="s">
        <v>8</v>
      </c>
    </row>
    <row r="5" spans="2:8" ht="18.600000000000001" thickBot="1" x14ac:dyDescent="0.35">
      <c r="B5" s="3">
        <v>6</v>
      </c>
      <c r="C5" s="6">
        <v>394</v>
      </c>
      <c r="D5" s="6">
        <f>277-17+3</f>
        <v>263</v>
      </c>
      <c r="E5" s="6">
        <v>13</v>
      </c>
      <c r="F5" s="6">
        <v>56107</v>
      </c>
      <c r="G5" s="6" t="s">
        <v>10</v>
      </c>
    </row>
    <row r="6" spans="2:8" ht="18.600000000000001" thickBot="1" x14ac:dyDescent="0.35">
      <c r="B6" s="2">
        <v>7</v>
      </c>
      <c r="C6" s="5">
        <v>1102</v>
      </c>
      <c r="D6" s="5">
        <f>955-17+3</f>
        <v>941</v>
      </c>
      <c r="E6" s="5">
        <v>16</v>
      </c>
      <c r="F6" s="5">
        <v>82169</v>
      </c>
      <c r="G6" s="5" t="s">
        <v>11</v>
      </c>
    </row>
    <row r="7" spans="2:8" ht="18.600000000000001" thickBot="1" x14ac:dyDescent="0.35">
      <c r="B7" s="3">
        <v>8</v>
      </c>
      <c r="C7" s="6">
        <v>997</v>
      </c>
      <c r="D7" s="6">
        <f>962-17+3</f>
        <v>948</v>
      </c>
      <c r="E7" s="6">
        <v>13</v>
      </c>
      <c r="F7" s="6">
        <v>87715</v>
      </c>
      <c r="G7" s="6" t="s">
        <v>12</v>
      </c>
    </row>
    <row r="8" spans="2:8" ht="18.600000000000001" thickBot="1" x14ac:dyDescent="0.35">
      <c r="B8" s="2">
        <v>9</v>
      </c>
      <c r="C8" s="5">
        <v>1333</v>
      </c>
      <c r="D8" s="5">
        <f>1265-16+3</f>
        <v>1252</v>
      </c>
      <c r="E8" s="5">
        <v>16</v>
      </c>
      <c r="F8" s="5">
        <v>128129</v>
      </c>
      <c r="G8" s="5" t="s">
        <v>13</v>
      </c>
    </row>
    <row r="9" spans="2:8" ht="18.600000000000001" thickBot="1" x14ac:dyDescent="0.35">
      <c r="B9" s="3">
        <v>10</v>
      </c>
      <c r="C9" s="6">
        <v>873</v>
      </c>
      <c r="D9" s="6">
        <f>621-14+3</f>
        <v>610</v>
      </c>
      <c r="E9" s="6">
        <v>13</v>
      </c>
      <c r="F9" s="6">
        <v>120549</v>
      </c>
      <c r="G9" s="6" t="s">
        <v>14</v>
      </c>
    </row>
    <row r="10" spans="2:8" ht="18.600000000000001" thickBot="1" x14ac:dyDescent="0.35">
      <c r="B10" s="2">
        <v>11</v>
      </c>
      <c r="C10" s="5">
        <v>1039</v>
      </c>
      <c r="D10" s="5">
        <f>944-14+3</f>
        <v>933</v>
      </c>
      <c r="E10" s="5">
        <v>14</v>
      </c>
      <c r="F10" s="5">
        <v>129845</v>
      </c>
      <c r="G10" s="5" t="s">
        <v>7</v>
      </c>
    </row>
    <row r="11" spans="2:8" ht="18.600000000000001" thickBot="1" x14ac:dyDescent="0.35">
      <c r="B11" s="3">
        <v>12</v>
      </c>
      <c r="C11" s="6">
        <v>1547</v>
      </c>
      <c r="D11" s="6">
        <f>1378-16+3</f>
        <v>1365</v>
      </c>
      <c r="E11" s="6">
        <v>17</v>
      </c>
      <c r="F11" s="6">
        <v>112644</v>
      </c>
      <c r="G11" s="6" t="s">
        <v>15</v>
      </c>
      <c r="H11" s="4" t="s">
        <v>9</v>
      </c>
    </row>
    <row r="12" spans="2:8" ht="18.600000000000001" thickBot="1" x14ac:dyDescent="0.35">
      <c r="B12" s="2">
        <v>13</v>
      </c>
      <c r="C12" s="5">
        <v>273</v>
      </c>
      <c r="D12" s="5">
        <f>90-20+3</f>
        <v>73</v>
      </c>
      <c r="E12" s="5">
        <v>13</v>
      </c>
      <c r="F12" s="5">
        <v>28758</v>
      </c>
      <c r="G12" s="5">
        <v>4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Magno de Oliveira Valente</dc:creator>
  <cp:lastModifiedBy>Carlos Magno de Oliveira Valente</cp:lastModifiedBy>
  <dcterms:created xsi:type="dcterms:W3CDTF">2026-04-30T18:35:37Z</dcterms:created>
  <dcterms:modified xsi:type="dcterms:W3CDTF">2026-04-30T19:14:17Z</dcterms:modified>
</cp:coreProperties>
</file>